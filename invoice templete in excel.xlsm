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MuN AcademY\Tutorial\MS Excel\Microsoft Excel 2016 Advance Level\How to Convert Number to Words in Excel Easily  Bangla\number to word\"/>
    </mc:Choice>
  </mc:AlternateContent>
  <bookViews>
    <workbookView xWindow="0" yWindow="0" windowWidth="20490" windowHeight="7815"/>
  </bookViews>
  <sheets>
    <sheet name="Sheet1" sheetId="1" r:id="rId1"/>
    <sheet name="item to sale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B52" i="3" l="1"/>
  <c r="H22" i="3"/>
  <c r="I22" i="3" s="1"/>
  <c r="H23" i="3"/>
  <c r="I23" i="3" s="1"/>
  <c r="H24" i="3"/>
  <c r="I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21" i="3"/>
  <c r="I21" i="3" s="1"/>
  <c r="B22" i="3"/>
  <c r="B23" i="3"/>
  <c r="B24" i="3"/>
  <c r="B25" i="3"/>
  <c r="B26" i="3"/>
  <c r="B27" i="3"/>
  <c r="B28" i="3"/>
  <c r="B29" i="3"/>
  <c r="B30" i="3"/>
  <c r="B21" i="3"/>
  <c r="J6" i="3"/>
  <c r="J8" i="3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22" i="1"/>
  <c r="I22" i="1" s="1"/>
  <c r="H21" i="1"/>
  <c r="I21" i="1" s="1"/>
  <c r="B22" i="1"/>
  <c r="B23" i="1"/>
  <c r="B24" i="1"/>
  <c r="B25" i="1"/>
  <c r="B26" i="1"/>
  <c r="B27" i="1"/>
  <c r="B28" i="1"/>
  <c r="B29" i="1"/>
  <c r="B30" i="1"/>
  <c r="B31" i="1"/>
  <c r="B21" i="1"/>
  <c r="J6" i="1"/>
  <c r="J8" i="1" s="1"/>
  <c r="C38" i="1"/>
  <c r="I32" i="3" l="1"/>
  <c r="I39" i="3" s="1"/>
  <c r="I34" i="3"/>
  <c r="I37" i="3" s="1"/>
  <c r="I34" i="1"/>
  <c r="I36" i="1" s="1"/>
  <c r="I38" i="1" s="1"/>
  <c r="I40" i="1" l="1"/>
</calcChain>
</file>

<file path=xl/sharedStrings.xml><?xml version="1.0" encoding="utf-8"?>
<sst xmlns="http://schemas.openxmlformats.org/spreadsheetml/2006/main" count="86" uniqueCount="52">
  <si>
    <t>INVOICE</t>
  </si>
  <si>
    <t>[STREET ADDRESS]</t>
  </si>
  <si>
    <t>[CITY,STATE,ZIP]</t>
  </si>
  <si>
    <t>PHONE [000-000-0000]</t>
  </si>
  <si>
    <t>FAX [000-000-0000]</t>
  </si>
  <si>
    <t>BILL TO</t>
  </si>
  <si>
    <t>[NAME]</t>
  </si>
  <si>
    <t>[CONPONEY NAME]</t>
  </si>
  <si>
    <t>[EMAIL ID]</t>
  </si>
  <si>
    <t>CUSTOMER ID</t>
  </si>
  <si>
    <t>INVOICE DATE</t>
  </si>
  <si>
    <t>INVOICE NUMBER</t>
  </si>
  <si>
    <t>PAYMENT DATE BY</t>
  </si>
  <si>
    <t>SEFS</t>
  </si>
  <si>
    <t>FVDG</t>
  </si>
  <si>
    <t>ITEM NAME</t>
  </si>
  <si>
    <t>ITEM CODE</t>
  </si>
  <si>
    <t>PRICE PER UNIT</t>
  </si>
  <si>
    <t>Coffee maker</t>
  </si>
  <si>
    <t>electric heater</t>
  </si>
  <si>
    <t>LED Lamps 12v</t>
  </si>
  <si>
    <t>LED Lamps 24v</t>
  </si>
  <si>
    <t>Inverter AC</t>
  </si>
  <si>
    <t>Iron</t>
  </si>
  <si>
    <t>Table Fans</t>
  </si>
  <si>
    <t xml:space="preserve">Electric Water cooler </t>
  </si>
  <si>
    <t>Item Code</t>
  </si>
  <si>
    <t>Item Description</t>
  </si>
  <si>
    <t>Quentity</t>
  </si>
  <si>
    <t>Unit Price</t>
  </si>
  <si>
    <t>Amount</t>
  </si>
  <si>
    <t>SUBTOTAL</t>
  </si>
  <si>
    <t>TAX AMOUNT</t>
  </si>
  <si>
    <t>TAX [% ]</t>
  </si>
  <si>
    <t>DISCOUNT</t>
  </si>
  <si>
    <t>TOTAL</t>
  </si>
  <si>
    <t>WITHOUT TAX</t>
  </si>
  <si>
    <t>Signature</t>
  </si>
  <si>
    <t>Customer Signature</t>
  </si>
  <si>
    <t>deep</t>
  </si>
  <si>
    <t>[STRRET ADDRESS]</t>
  </si>
  <si>
    <t>EMAIL ADDRESS</t>
  </si>
  <si>
    <t>XYZ234</t>
  </si>
  <si>
    <t>3434DFD</t>
  </si>
  <si>
    <t>qty</t>
  </si>
  <si>
    <t>per unit price</t>
  </si>
  <si>
    <t>SPECIAL INSTRUCTIONS</t>
  </si>
  <si>
    <t>1. PLEASE MENTION YOUR INVOICE NUMBER IN CHEQUE.</t>
  </si>
  <si>
    <t>Customer signature</t>
  </si>
  <si>
    <t>deepak eduworld</t>
  </si>
  <si>
    <t>for any business enquiry please contact us @ abc@email.com</t>
  </si>
  <si>
    <t>Thanks For Your 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</si>
</sst>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TK-&quot;* #,##0.00_);_(&quot;TK-&quot;* \(#,##0.00\);_(&quot;TK-&quot;* &quot;-&quot;??_);_(@_)"/>
    <numFmt numFmtId="165" formatCode="[$-409]mmmm\ d\,\ yyyy;@"/>
    <numFmt numFmtId="166" formatCode="[$Rs.-4009]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11"/>
      <color theme="1"/>
      <name val="SutonnyMJ"/>
    </font>
    <font>
      <b/>
      <sz val="14"/>
      <color theme="1"/>
      <name val="Calibri"/>
      <family val="2"/>
      <scheme val="minor"/>
    </font>
    <font>
      <sz val="18"/>
      <color theme="1"/>
      <name val="BrahmaputraMJ"/>
    </font>
    <font>
      <b/>
      <sz val="18"/>
      <color theme="0"/>
      <name val="adbid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right" indent="2"/>
    </xf>
    <xf numFmtId="0" fontId="1" fillId="0" borderId="0" xfId="0" applyFont="1"/>
    <xf numFmtId="0" fontId="1" fillId="0" borderId="0" xfId="0" applyFont="1" applyAlignment="1">
      <alignment horizontal="right" indent="2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0" xfId="0" applyFont="1" applyFill="1"/>
    <xf numFmtId="0" fontId="0" fillId="0" borderId="0" xfId="0" applyAlignment="1"/>
    <xf numFmtId="0" fontId="2" fillId="3" borderId="3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0" applyNumberFormat="1" applyBorder="1"/>
    <xf numFmtId="0" fontId="0" fillId="0" borderId="0" xfId="0" applyFill="1" applyBorder="1" applyAlignment="1">
      <alignment horizontal="right" indent="2"/>
    </xf>
    <xf numFmtId="166" fontId="1" fillId="0" borderId="0" xfId="0" applyNumberFormat="1" applyFont="1"/>
    <xf numFmtId="0" fontId="1" fillId="0" borderId="8" xfId="0" applyFont="1" applyFill="1" applyBorder="1" applyAlignment="1">
      <alignment horizontal="right" indent="2"/>
    </xf>
    <xf numFmtId="0" fontId="4" fillId="0" borderId="0" xfId="0" applyFont="1"/>
    <xf numFmtId="0" fontId="5" fillId="0" borderId="0" xfId="0" applyFont="1" applyFill="1" applyBorder="1" applyAlignment="1">
      <alignment horizontal="right" indent="2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7" xfId="0" applyBorder="1"/>
    <xf numFmtId="0" fontId="0" fillId="0" borderId="16" xfId="0" applyBorder="1"/>
    <xf numFmtId="0" fontId="2" fillId="3" borderId="10" xfId="0" applyFont="1" applyFill="1" applyBorder="1"/>
    <xf numFmtId="0" fontId="2" fillId="3" borderId="11" xfId="0" applyFont="1" applyFill="1" applyBorder="1"/>
    <xf numFmtId="0" fontId="2" fillId="3" borderId="12" xfId="0" applyFont="1" applyFill="1" applyBorder="1"/>
    <xf numFmtId="0" fontId="0" fillId="0" borderId="0" xfId="0" applyBorder="1" applyAlignment="1">
      <alignment horizontal="centerContinuous"/>
    </xf>
    <xf numFmtId="0" fontId="0" fillId="0" borderId="11" xfId="0" applyBorder="1" applyAlignment="1">
      <alignment horizontal="centerContinuous"/>
    </xf>
    <xf numFmtId="0" fontId="0" fillId="0" borderId="0" xfId="0" applyAlignment="1">
      <alignment horizontal="centerContinuous"/>
    </xf>
    <xf numFmtId="0" fontId="6" fillId="0" borderId="0" xfId="0" applyFont="1"/>
    <xf numFmtId="0" fontId="2" fillId="3" borderId="17" xfId="0" applyFont="1" applyFill="1" applyBorder="1"/>
    <xf numFmtId="0" fontId="2" fillId="3" borderId="18" xfId="0" applyFont="1" applyFill="1" applyBorder="1"/>
    <xf numFmtId="0" fontId="2" fillId="3" borderId="19" xfId="0" applyFont="1" applyFill="1" applyBorder="1"/>
    <xf numFmtId="0" fontId="0" fillId="0" borderId="20" xfId="0" applyBorder="1" applyAlignment="1">
      <alignment horizontal="center"/>
    </xf>
    <xf numFmtId="166" fontId="0" fillId="0" borderId="4" xfId="0" applyNumberFormat="1" applyBorder="1" applyAlignment="1">
      <alignment horizontal="left"/>
    </xf>
    <xf numFmtId="166" fontId="0" fillId="0" borderId="5" xfId="0" applyNumberFormat="1" applyBorder="1" applyAlignment="1">
      <alignment horizontal="left"/>
    </xf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0" xfId="0" applyNumberFormat="1"/>
    <xf numFmtId="164" fontId="5" fillId="4" borderId="0" xfId="0" applyNumberFormat="1" applyFont="1" applyFill="1"/>
    <xf numFmtId="0" fontId="7" fillId="0" borderId="0" xfId="0" applyFont="1"/>
    <xf numFmtId="164" fontId="8" fillId="2" borderId="9" xfId="0" applyNumberFormat="1" applyFont="1" applyFill="1" applyBorder="1"/>
    <xf numFmtId="0" fontId="9" fillId="5" borderId="0" xfId="0" applyFont="1" applyFill="1" applyAlignment="1">
      <alignment horizontal="left" vertical="center" indent="3"/>
    </xf>
    <xf numFmtId="0" fontId="0" fillId="0" borderId="4" xfId="0" applyBorder="1"/>
    <xf numFmtId="0" fontId="2" fillId="3" borderId="3" xfId="0" applyFont="1" applyFill="1" applyBorder="1"/>
    <xf numFmtId="0" fontId="0" fillId="0" borderId="6" xfId="0" applyBorder="1"/>
    <xf numFmtId="0" fontId="0" fillId="0" borderId="4" xfId="0" applyBorder="1" applyAlignment="1"/>
    <xf numFmtId="0" fontId="2" fillId="3" borderId="18" xfId="0" applyFont="1" applyFill="1" applyBorder="1" applyAlignment="1"/>
    <xf numFmtId="0" fontId="1" fillId="0" borderId="0" xfId="0" applyFont="1" applyAlignment="1">
      <alignment horizontal="center"/>
    </xf>
    <xf numFmtId="0" fontId="0" fillId="0" borderId="5" xfId="0" applyBorder="1" applyAlignment="1"/>
    <xf numFmtId="2" fontId="10" fillId="6" borderId="2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16648</xdr:colOff>
      <xdr:row>0</xdr:row>
      <xdr:rowOff>503652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306"/>
        <a:stretch/>
      </xdr:blipFill>
      <xdr:spPr>
        <a:xfrm>
          <a:off x="779929" y="0"/>
          <a:ext cx="905436" cy="5036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V50"/>
  <sheetViews>
    <sheetView showGridLines="0" tabSelected="1" topLeftCell="A28" zoomScaleNormal="100" workbookViewId="0">
      <selection activeCell="C47" sqref="C47"/>
    </sheetView>
  </sheetViews>
  <sheetFormatPr defaultColWidth="12.140625" defaultRowHeight="15" x14ac:dyDescent="0.25"/>
  <cols>
    <col min="2" max="2" width="17.5703125" customWidth="1"/>
    <col min="3" max="3" width="88.140625" bestFit="1" customWidth="1"/>
    <col min="5" max="7" width="0" hidden="1" customWidth="1"/>
    <col min="8" max="8" width="13.5703125" bestFit="1" customWidth="1"/>
    <col min="9" max="9" width="18.28515625" bestFit="1" customWidth="1"/>
    <col min="10" max="10" width="16.7109375" customWidth="1"/>
  </cols>
  <sheetData>
    <row r="1" spans="2:10" ht="40.9" customHeight="1" x14ac:dyDescent="0.25">
      <c r="I1" s="1" t="s">
        <v>0</v>
      </c>
    </row>
    <row r="4" spans="2:10" x14ac:dyDescent="0.25">
      <c r="B4" t="s">
        <v>39</v>
      </c>
    </row>
    <row r="5" spans="2:10" x14ac:dyDescent="0.25">
      <c r="B5" t="s">
        <v>1</v>
      </c>
      <c r="H5" s="4"/>
      <c r="I5" s="5" t="s">
        <v>9</v>
      </c>
      <c r="J5" s="6" t="s">
        <v>13</v>
      </c>
    </row>
    <row r="6" spans="2:10" x14ac:dyDescent="0.25">
      <c r="B6" t="s">
        <v>2</v>
      </c>
      <c r="H6" s="4"/>
      <c r="I6" s="5" t="s">
        <v>10</v>
      </c>
      <c r="J6" s="7">
        <f ca="1">TODAY()</f>
        <v>43193</v>
      </c>
    </row>
    <row r="7" spans="2:10" x14ac:dyDescent="0.25">
      <c r="B7" t="s">
        <v>3</v>
      </c>
      <c r="H7" s="4"/>
      <c r="I7" s="5" t="s">
        <v>11</v>
      </c>
      <c r="J7" s="6" t="s">
        <v>14</v>
      </c>
    </row>
    <row r="8" spans="2:10" x14ac:dyDescent="0.25">
      <c r="B8" t="s">
        <v>4</v>
      </c>
      <c r="H8" s="4"/>
      <c r="I8" s="5" t="s">
        <v>12</v>
      </c>
      <c r="J8" s="7">
        <f ca="1">J6+20</f>
        <v>43213</v>
      </c>
    </row>
    <row r="11" spans="2:10" x14ac:dyDescent="0.25">
      <c r="B11" s="12" t="s">
        <v>5</v>
      </c>
      <c r="C11" s="12"/>
      <c r="D11" s="12"/>
      <c r="E11" s="12"/>
      <c r="F11" s="12"/>
    </row>
    <row r="12" spans="2:10" x14ac:dyDescent="0.25">
      <c r="B12" t="s">
        <v>6</v>
      </c>
    </row>
    <row r="13" spans="2:10" x14ac:dyDescent="0.25">
      <c r="B13" t="s">
        <v>7</v>
      </c>
    </row>
    <row r="14" spans="2:10" x14ac:dyDescent="0.25">
      <c r="B14" t="s">
        <v>1</v>
      </c>
    </row>
    <row r="15" spans="2:10" x14ac:dyDescent="0.25">
      <c r="B15" t="s">
        <v>2</v>
      </c>
    </row>
    <row r="16" spans="2:10" x14ac:dyDescent="0.25">
      <c r="B16" t="s">
        <v>3</v>
      </c>
    </row>
    <row r="17" spans="2:9" x14ac:dyDescent="0.25">
      <c r="B17" t="s">
        <v>8</v>
      </c>
    </row>
    <row r="19" spans="2:9" ht="15.75" thickBot="1" x14ac:dyDescent="0.3"/>
    <row r="20" spans="2:9" x14ac:dyDescent="0.25">
      <c r="B20" s="14" t="s">
        <v>26</v>
      </c>
      <c r="C20" s="53" t="s">
        <v>27</v>
      </c>
      <c r="D20" s="53"/>
      <c r="E20" s="53"/>
      <c r="F20" s="53"/>
      <c r="G20" s="14" t="s">
        <v>28</v>
      </c>
      <c r="H20" s="14" t="s">
        <v>29</v>
      </c>
      <c r="I20" s="14" t="s">
        <v>30</v>
      </c>
    </row>
    <row r="21" spans="2:9" x14ac:dyDescent="0.25">
      <c r="B21" s="15">
        <f>IFERROR(VLOOKUP(C21,'item to sale'!B3:D10,2,0),"")</f>
        <v>730747</v>
      </c>
      <c r="C21" s="52" t="s">
        <v>20</v>
      </c>
      <c r="D21" s="52"/>
      <c r="E21" s="52"/>
      <c r="F21" s="52"/>
      <c r="G21" s="18">
        <v>2</v>
      </c>
      <c r="H21" s="43">
        <f>IFERROR(VLOOKUP(C21,'item to sale'!B3:D10,3,0),"")</f>
        <v>150</v>
      </c>
      <c r="I21" s="43">
        <f>IFERROR(H21*G21,0)</f>
        <v>300</v>
      </c>
    </row>
    <row r="22" spans="2:9" x14ac:dyDescent="0.25">
      <c r="B22" s="15">
        <f>IFERROR(VLOOKUP(C22,'item to sale'!B4:D11,2,0),"")</f>
        <v>230746</v>
      </c>
      <c r="C22" s="52" t="s">
        <v>19</v>
      </c>
      <c r="D22" s="52"/>
      <c r="E22" s="52"/>
      <c r="F22" s="52"/>
      <c r="G22" s="18">
        <v>12</v>
      </c>
      <c r="H22" s="43">
        <f>IFERROR(VLOOKUP(C22,'item to sale'!B4:D11,3,0),"")</f>
        <v>999</v>
      </c>
      <c r="I22" s="43">
        <f t="shared" ref="I22" si="0">IFERROR(H22*G22,0)</f>
        <v>11988</v>
      </c>
    </row>
    <row r="23" spans="2:9" x14ac:dyDescent="0.25">
      <c r="B23" s="15">
        <f>IFERROR(VLOOKUP(C23,'item to sale'!B5:D12,2,0),"")</f>
        <v>530749</v>
      </c>
      <c r="C23" s="52" t="s">
        <v>22</v>
      </c>
      <c r="D23" s="52"/>
      <c r="E23" s="52"/>
      <c r="F23" s="52"/>
      <c r="G23" s="15">
        <v>2</v>
      </c>
      <c r="H23" s="43">
        <f>IFERROR(VLOOKUP(C23,'item to sale'!B5:D12,3,0),"")</f>
        <v>10500</v>
      </c>
      <c r="I23" s="43">
        <f>IFERROR(H23*G23,"")</f>
        <v>21000</v>
      </c>
    </row>
    <row r="24" spans="2:9" x14ac:dyDescent="0.25">
      <c r="B24" s="15">
        <f>IFERROR(VLOOKUP(C24,'item to sale'!B6:D13,2,0),"")</f>
        <v>530749</v>
      </c>
      <c r="C24" s="52" t="s">
        <v>22</v>
      </c>
      <c r="D24" s="52"/>
      <c r="E24" s="52"/>
      <c r="F24" s="52"/>
      <c r="G24" s="15"/>
      <c r="H24" s="43">
        <f>IFERROR(VLOOKUP(C24,'item to sale'!B6:D13,3,0),"")</f>
        <v>10500</v>
      </c>
      <c r="I24" s="43">
        <f t="shared" ref="I24:I32" si="1">IFERROR(H24*G24,"")</f>
        <v>0</v>
      </c>
    </row>
    <row r="25" spans="2:9" x14ac:dyDescent="0.25">
      <c r="B25" s="15" t="str">
        <f>IFERROR(VLOOKUP(C25,'item to sale'!B7:D14,2,0),"")</f>
        <v/>
      </c>
      <c r="C25" s="52"/>
      <c r="D25" s="52"/>
      <c r="E25" s="52"/>
      <c r="F25" s="52"/>
      <c r="G25" s="15"/>
      <c r="H25" s="43" t="str">
        <f>IFERROR(VLOOKUP(C25,'item to sale'!B7:D14,3,0),"")</f>
        <v/>
      </c>
      <c r="I25" s="43" t="str">
        <f t="shared" si="1"/>
        <v/>
      </c>
    </row>
    <row r="26" spans="2:9" x14ac:dyDescent="0.25">
      <c r="B26" s="15" t="str">
        <f>IFERROR(VLOOKUP(C26,'item to sale'!B8:D15,2,0),"")</f>
        <v/>
      </c>
      <c r="C26" s="52"/>
      <c r="D26" s="52"/>
      <c r="E26" s="52"/>
      <c r="F26" s="52"/>
      <c r="G26" s="15"/>
      <c r="H26" s="43" t="str">
        <f>IFERROR(VLOOKUP(C26,'item to sale'!B8:D15,3,0),"")</f>
        <v/>
      </c>
      <c r="I26" s="43" t="str">
        <f t="shared" si="1"/>
        <v/>
      </c>
    </row>
    <row r="27" spans="2:9" x14ac:dyDescent="0.25">
      <c r="B27" s="15" t="str">
        <f>IFERROR(VLOOKUP(C27,'item to sale'!B9:D16,2,0),"")</f>
        <v/>
      </c>
      <c r="C27" s="52"/>
      <c r="D27" s="52"/>
      <c r="E27" s="52"/>
      <c r="F27" s="52"/>
      <c r="G27" s="15"/>
      <c r="H27" s="43" t="str">
        <f>IFERROR(VLOOKUP(C27,'item to sale'!B9:D16,3,0),"")</f>
        <v/>
      </c>
      <c r="I27" s="43" t="str">
        <f t="shared" si="1"/>
        <v/>
      </c>
    </row>
    <row r="28" spans="2:9" x14ac:dyDescent="0.25">
      <c r="B28" s="15" t="str">
        <f>IFERROR(VLOOKUP(C28,'item to sale'!B10:D17,2,0),"")</f>
        <v/>
      </c>
      <c r="C28" s="52"/>
      <c r="D28" s="52"/>
      <c r="E28" s="52"/>
      <c r="F28" s="52"/>
      <c r="G28" s="15"/>
      <c r="H28" s="43" t="str">
        <f>IFERROR(VLOOKUP(C28,'item to sale'!B10:D17,3,0),"")</f>
        <v/>
      </c>
      <c r="I28" s="43" t="str">
        <f t="shared" si="1"/>
        <v/>
      </c>
    </row>
    <row r="29" spans="2:9" x14ac:dyDescent="0.25">
      <c r="B29" s="15" t="str">
        <f>IFERROR(VLOOKUP(C29,'item to sale'!B11:D18,2,0),"")</f>
        <v/>
      </c>
      <c r="C29" s="52"/>
      <c r="D29" s="52"/>
      <c r="E29" s="52"/>
      <c r="F29" s="52"/>
      <c r="G29" s="15"/>
      <c r="H29" s="43" t="str">
        <f>IFERROR(VLOOKUP(C29,'item to sale'!B11:D18,3,0),"")</f>
        <v/>
      </c>
      <c r="I29" s="43" t="str">
        <f t="shared" si="1"/>
        <v/>
      </c>
    </row>
    <row r="30" spans="2:9" x14ac:dyDescent="0.25">
      <c r="B30" s="15" t="str">
        <f>IFERROR(VLOOKUP(C30,'item to sale'!B12:D19,2,0),"")</f>
        <v/>
      </c>
      <c r="C30" s="52"/>
      <c r="D30" s="52"/>
      <c r="E30" s="52"/>
      <c r="F30" s="52"/>
      <c r="G30" s="15"/>
      <c r="H30" s="43" t="str">
        <f>IFERROR(VLOOKUP(C30,'item to sale'!B12:D19,3,0),"")</f>
        <v/>
      </c>
      <c r="I30" s="43" t="str">
        <f t="shared" si="1"/>
        <v/>
      </c>
    </row>
    <row r="31" spans="2:9" x14ac:dyDescent="0.25">
      <c r="B31" s="15" t="str">
        <f>IFERROR(VLOOKUP(C31,'item to sale'!B13:D20,2,0),"")</f>
        <v/>
      </c>
      <c r="C31" s="52"/>
      <c r="D31" s="52"/>
      <c r="E31" s="52"/>
      <c r="F31" s="52"/>
      <c r="G31" s="15"/>
      <c r="H31" s="43" t="str">
        <f>IFERROR(VLOOKUP(C31,'item to sale'!B13:D20,3,0),"")</f>
        <v/>
      </c>
      <c r="I31" s="43" t="str">
        <f t="shared" si="1"/>
        <v/>
      </c>
    </row>
    <row r="32" spans="2:9" ht="15.75" thickBot="1" x14ac:dyDescent="0.3">
      <c r="B32" s="17"/>
      <c r="C32" s="54"/>
      <c r="D32" s="54"/>
      <c r="E32" s="54"/>
      <c r="F32" s="54"/>
      <c r="G32" s="17"/>
      <c r="H32" s="44" t="str">
        <f>IFERROR(VLOOKUP(C32,'item to sale'!B14:D21,3,0),"")</f>
        <v/>
      </c>
      <c r="I32" s="44" t="str">
        <f t="shared" si="1"/>
        <v/>
      </c>
    </row>
    <row r="33" spans="2:22" ht="15.75" thickTop="1" x14ac:dyDescent="0.25">
      <c r="R33" s="30"/>
      <c r="S33" s="31"/>
      <c r="T33" s="31"/>
      <c r="U33" s="31"/>
      <c r="V33" s="32"/>
    </row>
    <row r="34" spans="2:22" x14ac:dyDescent="0.25">
      <c r="H34" s="3" t="s">
        <v>31</v>
      </c>
      <c r="I34" s="45">
        <f>SUM(I21:I32)</f>
        <v>33288</v>
      </c>
      <c r="R34" s="25"/>
      <c r="S34" s="9"/>
      <c r="T34" s="9"/>
      <c r="U34" s="9"/>
      <c r="V34" s="26"/>
    </row>
    <row r="35" spans="2:22" x14ac:dyDescent="0.25">
      <c r="H35" s="3" t="s">
        <v>33</v>
      </c>
      <c r="I35" s="45">
        <v>2</v>
      </c>
      <c r="R35" s="25"/>
      <c r="S35" s="9"/>
      <c r="T35" s="9"/>
      <c r="U35" s="9"/>
      <c r="V35" s="26"/>
    </row>
    <row r="36" spans="2:22" x14ac:dyDescent="0.25">
      <c r="H36" s="3" t="s">
        <v>32</v>
      </c>
      <c r="I36" s="45">
        <f>I34*I35%</f>
        <v>665.76</v>
      </c>
      <c r="R36" s="25"/>
      <c r="S36" s="9"/>
      <c r="T36" s="9"/>
      <c r="U36" s="9"/>
      <c r="V36" s="26"/>
    </row>
    <row r="37" spans="2:22" ht="15.75" thickBot="1" x14ac:dyDescent="0.3">
      <c r="H37" s="20" t="s">
        <v>34</v>
      </c>
      <c r="I37" s="46">
        <v>222</v>
      </c>
      <c r="R37" s="25"/>
      <c r="S37" s="9"/>
      <c r="T37" s="9"/>
      <c r="U37" s="9"/>
      <c r="V37" s="26"/>
    </row>
    <row r="38" spans="2:22" ht="29.25" thickTop="1" thickBot="1" x14ac:dyDescent="0.35">
      <c r="B38" s="59">
        <v>33250.5</v>
      </c>
      <c r="C38" s="51" t="str">
        <f>ConvertCurrencyToBangla(I38)</f>
        <v>†ZwÎk nvRvi mvZkZ GKwÎk UvKv Ges wQqvËi cqmv</v>
      </c>
      <c r="H38" s="22" t="s">
        <v>35</v>
      </c>
      <c r="I38" s="50">
        <f>SUM(I34,I36-I37)</f>
        <v>33731.760000000002</v>
      </c>
      <c r="R38" s="25"/>
      <c r="S38" s="9"/>
      <c r="T38" s="9"/>
      <c r="U38" s="9"/>
      <c r="V38" s="26"/>
    </row>
    <row r="39" spans="2:22" ht="15.75" thickBot="1" x14ac:dyDescent="0.3">
      <c r="B39" s="49"/>
      <c r="I39" s="47"/>
      <c r="R39" s="27"/>
      <c r="S39" s="28"/>
      <c r="T39" s="28"/>
      <c r="U39" s="28"/>
      <c r="V39" s="29"/>
    </row>
    <row r="40" spans="2:22" ht="15.75" thickTop="1" x14ac:dyDescent="0.25">
      <c r="G40" s="23"/>
      <c r="H40" s="24" t="s">
        <v>36</v>
      </c>
      <c r="I40" s="48">
        <f>I34-I37</f>
        <v>33066</v>
      </c>
    </row>
    <row r="42" spans="2:22" ht="15.75" thickBot="1" x14ac:dyDescent="0.3">
      <c r="C42" s="9"/>
    </row>
    <row r="43" spans="2:22" ht="16.5" thickTop="1" thickBot="1" x14ac:dyDescent="0.3">
      <c r="B43" s="9"/>
      <c r="C43" s="34"/>
      <c r="H43" s="33"/>
      <c r="I43" s="33"/>
    </row>
    <row r="44" spans="2:22" ht="15.75" thickTop="1" x14ac:dyDescent="0.25">
      <c r="B44" s="34" t="s">
        <v>38</v>
      </c>
      <c r="H44" s="34" t="s">
        <v>37</v>
      </c>
      <c r="I44" s="34"/>
    </row>
    <row r="45" spans="2:22" x14ac:dyDescent="0.25">
      <c r="C45" s="35"/>
    </row>
    <row r="46" spans="2:22" x14ac:dyDescent="0.25">
      <c r="B46" s="35"/>
      <c r="D46" s="35"/>
      <c r="E46" s="35"/>
      <c r="F46" s="35"/>
      <c r="G46" s="35"/>
      <c r="H46" s="35"/>
      <c r="I46" s="35"/>
    </row>
    <row r="49" spans="2:9" x14ac:dyDescent="0.25">
      <c r="C49" s="18"/>
    </row>
    <row r="50" spans="2:9" x14ac:dyDescent="0.25">
      <c r="B50" s="18"/>
      <c r="D50" s="18"/>
      <c r="E50" s="35"/>
      <c r="F50" s="35"/>
      <c r="G50" s="35"/>
      <c r="H50" s="35"/>
      <c r="I50" s="35"/>
    </row>
  </sheetData>
  <mergeCells count="13">
    <mergeCell ref="C32:F32"/>
    <mergeCell ref="C26:F26"/>
    <mergeCell ref="C27:F27"/>
    <mergeCell ref="C28:F28"/>
    <mergeCell ref="C29:F29"/>
    <mergeCell ref="C30:F30"/>
    <mergeCell ref="C31:F31"/>
    <mergeCell ref="C25:F25"/>
    <mergeCell ref="C20:F20"/>
    <mergeCell ref="C21:F21"/>
    <mergeCell ref="C22:F22"/>
    <mergeCell ref="C23:F23"/>
    <mergeCell ref="C24:F24"/>
  </mergeCells>
  <pageMargins left="0.25" right="0.25" top="0.75" bottom="0.75" header="0.3" footer="0.3"/>
  <pageSetup scale="75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to sale'!$B$3:$B$10</xm:f>
          </x14:formula1>
          <xm:sqref>C21:F32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5"/>
  <sheetViews>
    <sheetView topLeftCell="A10" zoomScale="115" zoomScaleNormal="115" workbookViewId="0">
      <selection activeCell="D9" sqref="D9"/>
    </sheetView>
  </sheetViews>
  <sheetFormatPr defaultRowHeight="15" x14ac:dyDescent="0.25"/>
  <cols>
    <col min="2" max="2" width="18.28515625" customWidth="1"/>
    <col min="3" max="3" width="11.7109375" customWidth="1"/>
    <col min="4" max="4" width="14.7109375" customWidth="1"/>
  </cols>
  <sheetData>
    <row r="2" spans="2:4" x14ac:dyDescent="0.25">
      <c r="B2" s="8" t="s">
        <v>15</v>
      </c>
      <c r="C2" s="8" t="s">
        <v>16</v>
      </c>
      <c r="D2" s="11" t="s">
        <v>17</v>
      </c>
    </row>
    <row r="3" spans="2:4" x14ac:dyDescent="0.25">
      <c r="B3" s="2" t="s">
        <v>18</v>
      </c>
      <c r="C3" s="6">
        <v>230745</v>
      </c>
      <c r="D3" s="6">
        <v>1999</v>
      </c>
    </row>
    <row r="4" spans="2:4" x14ac:dyDescent="0.25">
      <c r="B4" s="2" t="s">
        <v>19</v>
      </c>
      <c r="C4" s="6">
        <v>230746</v>
      </c>
      <c r="D4" s="6">
        <v>999</v>
      </c>
    </row>
    <row r="5" spans="2:4" x14ac:dyDescent="0.25">
      <c r="B5" s="2" t="s">
        <v>20</v>
      </c>
      <c r="C5" s="6">
        <v>730747</v>
      </c>
      <c r="D5" s="6">
        <v>150</v>
      </c>
    </row>
    <row r="6" spans="2:4" x14ac:dyDescent="0.25">
      <c r="B6" s="2" t="s">
        <v>21</v>
      </c>
      <c r="C6" s="6">
        <v>230748</v>
      </c>
      <c r="D6" s="6">
        <v>250</v>
      </c>
    </row>
    <row r="7" spans="2:4" x14ac:dyDescent="0.25">
      <c r="B7" s="2" t="s">
        <v>22</v>
      </c>
      <c r="C7" s="6">
        <v>530749</v>
      </c>
      <c r="D7" s="6">
        <v>10500</v>
      </c>
    </row>
    <row r="8" spans="2:4" x14ac:dyDescent="0.25">
      <c r="B8" s="2" t="s">
        <v>23</v>
      </c>
      <c r="C8" s="6">
        <v>230750</v>
      </c>
      <c r="D8" s="6">
        <v>1299</v>
      </c>
    </row>
    <row r="9" spans="2:4" x14ac:dyDescent="0.25">
      <c r="B9" s="2" t="s">
        <v>24</v>
      </c>
      <c r="C9" s="6">
        <v>930751</v>
      </c>
      <c r="D9" s="6">
        <v>799</v>
      </c>
    </row>
    <row r="10" spans="2:4" x14ac:dyDescent="0.25">
      <c r="B10" s="2" t="s">
        <v>25</v>
      </c>
      <c r="C10" s="6">
        <v>230752</v>
      </c>
      <c r="D10" s="6">
        <v>1350</v>
      </c>
    </row>
    <row r="11" spans="2:4" x14ac:dyDescent="0.25">
      <c r="B11" s="9"/>
      <c r="C11" s="9"/>
      <c r="D11" s="10"/>
    </row>
    <row r="12" spans="2:4" x14ac:dyDescent="0.25">
      <c r="B12" s="9"/>
      <c r="C12" s="9"/>
      <c r="D12" s="9"/>
    </row>
    <row r="13" spans="2:4" x14ac:dyDescent="0.25">
      <c r="B13" s="9"/>
      <c r="C13" s="9"/>
      <c r="D13" s="9"/>
    </row>
    <row r="14" spans="2:4" x14ac:dyDescent="0.25">
      <c r="B14" s="9"/>
      <c r="C14" s="9"/>
      <c r="D14" s="9"/>
    </row>
    <row r="15" spans="2:4" x14ac:dyDescent="0.25">
      <c r="B15" s="9"/>
      <c r="C15" s="9"/>
      <c r="D15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54"/>
  <sheetViews>
    <sheetView topLeftCell="A37" zoomScale="85" zoomScaleNormal="85" workbookViewId="0">
      <selection activeCell="G9" sqref="G9"/>
    </sheetView>
  </sheetViews>
  <sheetFormatPr defaultColWidth="11.28515625" defaultRowHeight="15" x14ac:dyDescent="0.25"/>
  <cols>
    <col min="2" max="2" width="12.85546875" customWidth="1"/>
    <col min="7" max="7" width="12.28515625" customWidth="1"/>
    <col min="8" max="8" width="14.140625" customWidth="1"/>
    <col min="9" max="9" width="17.28515625" customWidth="1"/>
    <col min="10" max="10" width="15.7109375" bestFit="1" customWidth="1"/>
  </cols>
  <sheetData>
    <row r="1" spans="2:10" ht="45" customHeight="1" x14ac:dyDescent="0.5">
      <c r="I1" s="36" t="s">
        <v>0</v>
      </c>
    </row>
    <row r="4" spans="2:10" x14ac:dyDescent="0.25">
      <c r="B4" t="s">
        <v>49</v>
      </c>
    </row>
    <row r="5" spans="2:10" x14ac:dyDescent="0.25">
      <c r="B5" t="s">
        <v>40</v>
      </c>
      <c r="I5" s="5" t="s">
        <v>9</v>
      </c>
      <c r="J5" s="6" t="s">
        <v>42</v>
      </c>
    </row>
    <row r="6" spans="2:10" x14ac:dyDescent="0.25">
      <c r="B6" t="s">
        <v>2</v>
      </c>
      <c r="I6" s="5" t="s">
        <v>10</v>
      </c>
      <c r="J6" s="7">
        <f ca="1">TODAY()</f>
        <v>43193</v>
      </c>
    </row>
    <row r="7" spans="2:10" x14ac:dyDescent="0.25">
      <c r="B7" t="s">
        <v>3</v>
      </c>
      <c r="I7" s="5" t="s">
        <v>11</v>
      </c>
      <c r="J7" s="6" t="s">
        <v>43</v>
      </c>
    </row>
    <row r="8" spans="2:10" x14ac:dyDescent="0.25">
      <c r="B8" t="s">
        <v>4</v>
      </c>
      <c r="I8" s="5" t="s">
        <v>12</v>
      </c>
      <c r="J8" s="7">
        <f ca="1">J6+20</f>
        <v>43213</v>
      </c>
    </row>
    <row r="11" spans="2:10" x14ac:dyDescent="0.25">
      <c r="B11" s="12" t="s">
        <v>5</v>
      </c>
      <c r="C11" s="12"/>
      <c r="D11" s="12"/>
      <c r="E11" s="12"/>
      <c r="F11" s="12"/>
    </row>
    <row r="13" spans="2:10" x14ac:dyDescent="0.25">
      <c r="B13" t="s">
        <v>6</v>
      </c>
    </row>
    <row r="14" spans="2:10" x14ac:dyDescent="0.25">
      <c r="B14" t="s">
        <v>1</v>
      </c>
    </row>
    <row r="15" spans="2:10" x14ac:dyDescent="0.25">
      <c r="B15" t="s">
        <v>2</v>
      </c>
    </row>
    <row r="16" spans="2:10" x14ac:dyDescent="0.25">
      <c r="B16" t="s">
        <v>3</v>
      </c>
    </row>
    <row r="17" spans="2:9" x14ac:dyDescent="0.25">
      <c r="B17" t="s">
        <v>41</v>
      </c>
    </row>
    <row r="20" spans="2:9" x14ac:dyDescent="0.25">
      <c r="B20" s="37" t="s">
        <v>26</v>
      </c>
      <c r="C20" s="56" t="s">
        <v>27</v>
      </c>
      <c r="D20" s="56"/>
      <c r="E20" s="56"/>
      <c r="F20" s="56"/>
      <c r="G20" s="38" t="s">
        <v>44</v>
      </c>
      <c r="H20" s="38" t="s">
        <v>45</v>
      </c>
      <c r="I20" s="39" t="s">
        <v>30</v>
      </c>
    </row>
    <row r="21" spans="2:9" x14ac:dyDescent="0.25">
      <c r="B21" s="15">
        <f>IFERROR(VLOOKUP(C21,'item to sale'!B2:D10,2,0),"")</f>
        <v>530749</v>
      </c>
      <c r="C21" s="55" t="s">
        <v>22</v>
      </c>
      <c r="D21" s="55"/>
      <c r="E21" s="55"/>
      <c r="F21" s="55"/>
      <c r="G21" s="15">
        <v>2</v>
      </c>
      <c r="H21" s="41">
        <f>IFERROR(VLOOKUP(C21,'item to sale'!B2:D10,3,0),"")</f>
        <v>10500</v>
      </c>
      <c r="I21" s="41">
        <f>IFERROR(H21*G21,"")</f>
        <v>21000</v>
      </c>
    </row>
    <row r="22" spans="2:9" x14ac:dyDescent="0.25">
      <c r="B22" s="15">
        <f>IFERROR(VLOOKUP(C22,'item to sale'!B3:D11,2,0),"")</f>
        <v>230748</v>
      </c>
      <c r="C22" s="55" t="s">
        <v>21</v>
      </c>
      <c r="D22" s="55"/>
      <c r="E22" s="55"/>
      <c r="F22" s="55"/>
      <c r="G22" s="15">
        <v>3</v>
      </c>
      <c r="H22" s="41">
        <f>IFERROR(VLOOKUP(C22,'item to sale'!B3:D11,3,0),"")</f>
        <v>250</v>
      </c>
      <c r="I22" s="41">
        <f t="shared" ref="I22:I30" si="0">IFERROR(H22*G22,"")</f>
        <v>750</v>
      </c>
    </row>
    <row r="23" spans="2:9" x14ac:dyDescent="0.25">
      <c r="B23" s="15">
        <f>IFERROR(VLOOKUP(C23,'item to sale'!B4:D12,2,0),"")</f>
        <v>530749</v>
      </c>
      <c r="C23" s="55" t="s">
        <v>22</v>
      </c>
      <c r="D23" s="55"/>
      <c r="E23" s="55"/>
      <c r="F23" s="55"/>
      <c r="G23" s="15">
        <v>10</v>
      </c>
      <c r="H23" s="41">
        <f>IFERROR(VLOOKUP(C23,'item to sale'!B4:D12,3,0),"")</f>
        <v>10500</v>
      </c>
      <c r="I23" s="41">
        <f t="shared" si="0"/>
        <v>105000</v>
      </c>
    </row>
    <row r="24" spans="2:9" x14ac:dyDescent="0.25">
      <c r="B24" s="15">
        <f>IFERROR(VLOOKUP(C24,'item to sale'!B5:D13,2,0),"")</f>
        <v>230748</v>
      </c>
      <c r="C24" s="55" t="s">
        <v>21</v>
      </c>
      <c r="D24" s="55"/>
      <c r="E24" s="55"/>
      <c r="F24" s="55"/>
      <c r="G24" s="15">
        <v>15</v>
      </c>
      <c r="H24" s="41">
        <f>IFERROR(VLOOKUP(C24,'item to sale'!B5:D13,3,0),"")</f>
        <v>250</v>
      </c>
      <c r="I24" s="41">
        <f t="shared" si="0"/>
        <v>3750</v>
      </c>
    </row>
    <row r="25" spans="2:9" x14ac:dyDescent="0.25">
      <c r="B25" s="15" t="str">
        <f>IFERROR(VLOOKUP(C25,'item to sale'!B6:D14,2,0),"")</f>
        <v/>
      </c>
      <c r="C25" s="55"/>
      <c r="D25" s="55"/>
      <c r="E25" s="55"/>
      <c r="F25" s="55"/>
      <c r="G25" s="15"/>
      <c r="H25" s="41" t="str">
        <f>IFERROR(VLOOKUP(C25,'item to sale'!B6:D14,3,0),"")</f>
        <v/>
      </c>
      <c r="I25" s="41" t="str">
        <f t="shared" si="0"/>
        <v/>
      </c>
    </row>
    <row r="26" spans="2:9" x14ac:dyDescent="0.25">
      <c r="B26" s="15" t="str">
        <f>IFERROR(VLOOKUP(C26,'item to sale'!B7:D15,2,0),"")</f>
        <v/>
      </c>
      <c r="C26" s="55"/>
      <c r="D26" s="55"/>
      <c r="E26" s="55"/>
      <c r="F26" s="55"/>
      <c r="G26" s="15"/>
      <c r="H26" s="41" t="str">
        <f>IFERROR(VLOOKUP(C26,'item to sale'!B7:D15,3,0),"")</f>
        <v/>
      </c>
      <c r="I26" s="41" t="str">
        <f t="shared" si="0"/>
        <v/>
      </c>
    </row>
    <row r="27" spans="2:9" x14ac:dyDescent="0.25">
      <c r="B27" s="15" t="str">
        <f>IFERROR(VLOOKUP(C27,'item to sale'!B8:D16,2,0),"")</f>
        <v/>
      </c>
      <c r="C27" s="55"/>
      <c r="D27" s="55"/>
      <c r="E27" s="55"/>
      <c r="F27" s="55"/>
      <c r="G27" s="15"/>
      <c r="H27" s="41" t="str">
        <f>IFERROR(VLOOKUP(C27,'item to sale'!B8:D16,3,0),"")</f>
        <v/>
      </c>
      <c r="I27" s="41" t="str">
        <f t="shared" si="0"/>
        <v/>
      </c>
    </row>
    <row r="28" spans="2:9" x14ac:dyDescent="0.25">
      <c r="B28" s="15" t="str">
        <f>IFERROR(VLOOKUP(C28,'item to sale'!B9:D17,2,0),"")</f>
        <v/>
      </c>
      <c r="C28" s="55"/>
      <c r="D28" s="55"/>
      <c r="E28" s="55"/>
      <c r="F28" s="55"/>
      <c r="G28" s="15"/>
      <c r="H28" s="41" t="str">
        <f>IFERROR(VLOOKUP(C28,'item to sale'!B9:D17,3,0),"")</f>
        <v/>
      </c>
      <c r="I28" s="41" t="str">
        <f t="shared" si="0"/>
        <v/>
      </c>
    </row>
    <row r="29" spans="2:9" x14ac:dyDescent="0.25">
      <c r="B29" s="15" t="str">
        <f>IFERROR(VLOOKUP(C29,'item to sale'!B10:D18,2,0),"")</f>
        <v/>
      </c>
      <c r="C29" s="55"/>
      <c r="D29" s="55"/>
      <c r="E29" s="55"/>
      <c r="F29" s="55"/>
      <c r="G29" s="15"/>
      <c r="H29" s="41" t="str">
        <f>IFERROR(VLOOKUP(C29,'item to sale'!B10:D18,3,0),"")</f>
        <v/>
      </c>
      <c r="I29" s="41" t="str">
        <f t="shared" si="0"/>
        <v/>
      </c>
    </row>
    <row r="30" spans="2:9" ht="15.75" thickBot="1" x14ac:dyDescent="0.3">
      <c r="B30" s="16" t="str">
        <f>IFERROR(VLOOKUP(C30,'item to sale'!B11:D19,2,0),"")</f>
        <v/>
      </c>
      <c r="C30" s="58"/>
      <c r="D30" s="58"/>
      <c r="E30" s="58"/>
      <c r="F30" s="58"/>
      <c r="G30" s="40"/>
      <c r="H30" s="42" t="str">
        <f>IFERROR(VLOOKUP(C30,'item to sale'!B11:D19,3,0),"")</f>
        <v/>
      </c>
      <c r="I30" s="42" t="str">
        <f t="shared" si="0"/>
        <v/>
      </c>
    </row>
    <row r="31" spans="2:9" ht="15.75" thickBot="1" x14ac:dyDescent="0.3"/>
    <row r="32" spans="2:9" ht="15.75" thickTop="1" x14ac:dyDescent="0.25">
      <c r="B32" s="30" t="s">
        <v>46</v>
      </c>
      <c r="C32" s="31"/>
      <c r="D32" s="31"/>
      <c r="E32" s="31"/>
      <c r="F32" s="32"/>
      <c r="H32" t="s">
        <v>31</v>
      </c>
      <c r="I32" s="19">
        <f>SUM(I21:I30)</f>
        <v>130500</v>
      </c>
    </row>
    <row r="33" spans="2:9" x14ac:dyDescent="0.25">
      <c r="B33" s="25" t="s">
        <v>47</v>
      </c>
      <c r="C33" s="9"/>
      <c r="D33" s="9"/>
      <c r="E33" s="9"/>
      <c r="F33" s="26"/>
      <c r="H33" t="s">
        <v>33</v>
      </c>
      <c r="I33" s="2">
        <v>13</v>
      </c>
    </row>
    <row r="34" spans="2:9" x14ac:dyDescent="0.25">
      <c r="B34" s="25"/>
      <c r="C34" s="9"/>
      <c r="D34" s="9"/>
      <c r="E34" s="9"/>
      <c r="F34" s="26"/>
      <c r="H34" t="s">
        <v>32</v>
      </c>
      <c r="I34" s="19">
        <f>I32*I33%</f>
        <v>16965</v>
      </c>
    </row>
    <row r="35" spans="2:9" x14ac:dyDescent="0.25">
      <c r="B35" s="25"/>
      <c r="C35" s="9"/>
      <c r="D35" s="9"/>
      <c r="E35" s="9"/>
      <c r="F35" s="26"/>
      <c r="H35" t="s">
        <v>34</v>
      </c>
      <c r="I35" s="2">
        <v>2000</v>
      </c>
    </row>
    <row r="36" spans="2:9" x14ac:dyDescent="0.25">
      <c r="B36" s="25"/>
      <c r="C36" s="9"/>
      <c r="D36" s="9"/>
      <c r="E36" s="9"/>
      <c r="F36" s="26"/>
    </row>
    <row r="37" spans="2:9" x14ac:dyDescent="0.25">
      <c r="B37" s="25"/>
      <c r="C37" s="9"/>
      <c r="D37" s="9"/>
      <c r="E37" s="9"/>
      <c r="F37" s="26"/>
      <c r="H37" s="4" t="s">
        <v>35</v>
      </c>
      <c r="I37" s="21">
        <f>I32+I34-I35</f>
        <v>145465</v>
      </c>
    </row>
    <row r="38" spans="2:9" x14ac:dyDescent="0.25">
      <c r="B38" s="25"/>
      <c r="C38" s="9"/>
      <c r="D38" s="9"/>
      <c r="E38" s="9"/>
      <c r="F38" s="26"/>
    </row>
    <row r="39" spans="2:9" ht="15.75" thickBot="1" x14ac:dyDescent="0.3">
      <c r="B39" s="27"/>
      <c r="C39" s="28"/>
      <c r="D39" s="28"/>
      <c r="E39" s="28"/>
      <c r="F39" s="29"/>
      <c r="H39" s="4" t="s">
        <v>36</v>
      </c>
      <c r="I39" s="21">
        <f>I32-I35</f>
        <v>128500</v>
      </c>
    </row>
    <row r="40" spans="2:9" ht="15.75" thickTop="1" x14ac:dyDescent="0.25"/>
    <row r="44" spans="2:9" ht="15.75" thickBot="1" x14ac:dyDescent="0.3"/>
    <row r="45" spans="2:9" ht="15.75" thickTop="1" x14ac:dyDescent="0.25">
      <c r="B45" s="34" t="s">
        <v>48</v>
      </c>
      <c r="C45" s="34"/>
      <c r="H45" s="34" t="s">
        <v>37</v>
      </c>
      <c r="I45" s="34"/>
    </row>
    <row r="50" spans="2:9" x14ac:dyDescent="0.25">
      <c r="B50" s="13"/>
      <c r="C50" s="13"/>
      <c r="D50" s="13"/>
      <c r="E50" s="13"/>
      <c r="F50" s="13"/>
      <c r="G50" s="13"/>
      <c r="H50" s="13"/>
      <c r="I50" s="13"/>
    </row>
    <row r="52" spans="2:9" x14ac:dyDescent="0.25">
      <c r="B52" s="57" t="str">
        <f>"please make sure you cheque is payable to "&amp;B4</f>
        <v>please make sure you cheque is payable to deepak eduworld</v>
      </c>
      <c r="C52" s="57"/>
      <c r="D52" s="57"/>
      <c r="E52" s="57"/>
      <c r="F52" s="57"/>
      <c r="G52" s="57"/>
      <c r="H52" s="57"/>
      <c r="I52" s="57"/>
    </row>
    <row r="53" spans="2:9" x14ac:dyDescent="0.25">
      <c r="B53" s="57" t="s">
        <v>50</v>
      </c>
      <c r="C53" s="57"/>
      <c r="D53" s="57"/>
      <c r="E53" s="57"/>
      <c r="F53" s="57"/>
      <c r="G53" s="57"/>
      <c r="H53" s="57"/>
      <c r="I53" s="57"/>
    </row>
    <row r="54" spans="2:9" x14ac:dyDescent="0.25">
      <c r="B54" s="57" t="s">
        <v>51</v>
      </c>
      <c r="C54" s="57"/>
      <c r="D54" s="57"/>
      <c r="E54" s="57"/>
      <c r="F54" s="57"/>
      <c r="G54" s="57"/>
      <c r="H54" s="57"/>
      <c r="I54" s="57"/>
    </row>
  </sheetData>
  <mergeCells count="14">
    <mergeCell ref="B52:I52"/>
    <mergeCell ref="B53:I53"/>
    <mergeCell ref="B54:I54"/>
    <mergeCell ref="C26:F26"/>
    <mergeCell ref="C27:F27"/>
    <mergeCell ref="C28:F28"/>
    <mergeCell ref="C29:F29"/>
    <mergeCell ref="C30:F30"/>
    <mergeCell ref="C25:F25"/>
    <mergeCell ref="C20:F20"/>
    <mergeCell ref="C21:F21"/>
    <mergeCell ref="C22:F22"/>
    <mergeCell ref="C23:F23"/>
    <mergeCell ref="C24:F24"/>
  </mergeCells>
  <pageMargins left="0.7" right="0.7" top="0.75" bottom="0.75" header="0.3" footer="0.3"/>
  <pageSetup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to sale'!$B$3:$B$10</xm:f>
          </x14:formula1>
          <xm:sqref>C21:F30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item to sale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nehra</dc:creator>
  <cp:lastModifiedBy>MamuN AcademY</cp:lastModifiedBy>
  <cp:lastPrinted>2018-03-25T16:35:16Z</cp:lastPrinted>
  <dcterms:created xsi:type="dcterms:W3CDTF">2017-10-01T03:26:21Z</dcterms:created>
  <dcterms:modified xsi:type="dcterms:W3CDTF">2018-04-02T18:45:25Z</dcterms:modified>
</cp:coreProperties>
</file>